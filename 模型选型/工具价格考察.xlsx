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<sst xmlns="http://schemas.openxmlformats.org/spreadsheetml/2006/main" count="58" uniqueCount="45">
  <si>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Lovart</t>
  </si>
  <si>
    <t>会员类别</t>
  </si>
  <si>
    <t>月积分（首购双倍积分）</t>
  </si>
  <si>
    <t>月付(＄)</t>
  </si>
  <si>
    <t>首月(＄)</t>
  </si>
  <si>
    <t>月付积分单价（＄）</t>
  </si>
  <si>
    <t>年付(＄)</t>
  </si>
  <si>
    <t>首年(＄)</t>
  </si>
  <si>
    <t>年付月单价(＄)</t>
  </si>
  <si>
    <t>年付积分单价（＄）</t>
  </si>
  <si>
    <t>额外积分单价（＄）</t>
  </si>
  <si>
    <t>Starter</t>
  </si>
  <si>
    <t>/</t>
  </si>
  <si>
    <t>Basic</t>
  </si>
  <si>
    <t>Pro</t>
  </si>
  <si>
    <t>90</t>
  </si>
  <si>
    <t>888</t>
  </si>
  <si>
    <t>540</t>
  </si>
  <si>
    <t>Ultimate</t>
  </si>
  <si>
    <t>199</t>
  </si>
  <si>
    <t>1992</t>
  </si>
  <si>
    <t>1188</t>
  </si>
  <si>
    <t>目前Basic足够使用，生图不需要积分；生 5-10 秒的视频，平台扣分规则不透明（已知区间为 24-48 分）。每日登录平台送100分。</t>
  </si>
  <si>
    <t>LiblibAI</t>
  </si>
  <si>
    <t>月积分</t>
  </si>
  <si>
    <t>月付（￥）</t>
  </si>
  <si>
    <t>月付积分单价（￥）</t>
  </si>
  <si>
    <t>连续包月（￥）</t>
  </si>
  <si>
    <t>连续包月积分单价（￥）</t>
  </si>
  <si>
    <t>年付（￥）</t>
  </si>
  <si>
    <t>年付月单价（￥）</t>
  </si>
  <si>
    <t>年付积分单价（￥）</t>
  </si>
  <si>
    <t>额外积分单价（￥）</t>
  </si>
  <si>
    <t>基础版</t>
  </si>
  <si>
    <t>专业版</t>
  </si>
  <si>
    <t>大师版</t>
  </si>
  <si>
    <t>旗舰版</t>
  </si>
  <si>
    <t>LiblibAI仅用于对口型，基础版会员即可。对口型积分消耗区间96-144分，视频时长根据歌词断句而定，大致区间5-15秒。每日平台赠送20分。</t>
  </si>
  <si>
    <t>TapNow</t>
  </si>
  <si>
    <t>连续包月（＄）</t>
  </si>
  <si>
    <t>连续包月积分单价（＄）</t>
  </si>
  <si>
    <t>BASIC</t>
  </si>
  <si>
    <t>PRO</t>
  </si>
  <si>
    <t>ULTIMATE</t>
  </si>
  <si>
    <t>目前未使用过TapNow，但平台的工作流功能目测相比Lovart更方便，内部同样调用Banana Pro等图片模型和Kling 2.6等视频模型.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</si>
</sst>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1">
      <alignment vertical="center"/>
    </xf>
    <xf numFmtId="0" fontId="7" fillId="0" borderId="21">
      <alignment vertical="center"/>
    </xf>
    <xf numFmtId="0" fontId="8" fillId="0" borderId="22">
      <alignment vertical="center"/>
    </xf>
    <xf numFmtId="0" fontId="8" fillId="0" borderId="0">
      <alignment vertical="center"/>
    </xf>
    <xf numFmtId="0" fontId="9" fillId="4" borderId="23">
      <alignment vertical="center"/>
    </xf>
    <xf numFmtId="0" fontId="10" fillId="5" borderId="24">
      <alignment vertical="center"/>
    </xf>
    <xf numFmtId="0" fontId="11" fillId="5" borderId="23">
      <alignment vertical="center"/>
    </xf>
    <xf numFmtId="0" fontId="12" fillId="6" borderId="25">
      <alignment vertical="center"/>
    </xf>
    <xf numFmtId="0" fontId="13" fillId="0" borderId="26">
      <alignment vertical="center"/>
    </xf>
    <xf numFmtId="0" fontId="14" fillId="0" borderId="27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3"/>
  <sheetViews>
    <sheetView tabSelected="1" workbookViewId="0">
      <selection activeCell="D6" sqref="D6"/>
    </sheetView>
  </sheetViews>
  <sheetFormatPr defaultColWidth="12.6363636363636" defaultRowHeight="14"/>
  <cols>
    <col min="1" max="1" width="0.272727272727273" style="1" customWidth="1"/>
    <col min="2" max="2" width="9.54545454545454" style="1" customWidth="1"/>
    <col min="3" max="3" width="25.2727272727273" style="1" customWidth="1"/>
    <col min="4" max="4" width="16.2727272727273" style="1" customWidth="1"/>
    <col min="5" max="5" width="20.8181818181818" style="1" customWidth="1"/>
    <col min="6" max="7" width="25.2727272727273" style="1" customWidth="1"/>
    <col min="8" max="8" width="16.2727272727273" style="1" customWidth="1"/>
    <col min="9" max="11" width="20.8181818181818" style="1" customWidth="1"/>
    <col min="12" max="16384" width="12.6363636363636" style="1" customWidth="1"/>
  </cols>
  <sheetData>
    <row r="1" ht="1" customHeight="1"/>
    <row r="2" spans="2:11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 spans="2:11"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8" t="s">
        <v>10</v>
      </c>
    </row>
    <row r="4" spans="2:11">
      <c r="B4" s="5" t="s">
        <v>11</v>
      </c>
      <c r="C4" s="9">
        <v>2000</v>
      </c>
      <c r="D4" s="10">
        <v>19</v>
      </c>
      <c r="E4" s="10" t="s">
        <v>12</v>
      </c>
      <c r="F4" s="11">
        <f>D4/C4</f>
        <v>0.0095</v>
      </c>
      <c r="G4" s="10">
        <v>192</v>
      </c>
      <c r="H4" s="10" t="s">
        <v>12</v>
      </c>
      <c r="I4" s="11">
        <f>G4/12</f>
        <v>16</v>
      </c>
      <c r="J4" s="9">
        <f>I4/C4</f>
        <v>0.008</v>
      </c>
      <c r="K4" s="12">
        <v>0.009</v>
      </c>
    </row>
    <row r="5" spans="2:11">
      <c r="B5" s="13" t="s">
        <v>13</v>
      </c>
      <c r="C5" s="9">
        <v>3500</v>
      </c>
      <c r="D5" s="10">
        <v>32</v>
      </c>
      <c r="E5" s="10" t="s">
        <v>12</v>
      </c>
      <c r="F5" s="11">
        <f>D5/C5</f>
        <v>0.00914285714285714</v>
      </c>
      <c r="G5" s="10">
        <v>324</v>
      </c>
      <c r="H5" s="10" t="s">
        <v>12</v>
      </c>
      <c r="I5" s="11">
        <f>G5/12</f>
        <v>27</v>
      </c>
      <c r="J5" s="9">
        <f>I5/C5</f>
        <v>0.00771428571428571</v>
      </c>
      <c r="K5" s="14">
        <v>0.009</v>
      </c>
    </row>
    <row r="6" spans="2:11">
      <c r="B6" s="5" t="s">
        <v>14</v>
      </c>
      <c r="C6" s="9">
        <v>11000</v>
      </c>
      <c r="D6" s="10" t="s">
        <v>15</v>
      </c>
      <c r="E6" s="10">
        <v>69</v>
      </c>
      <c r="F6" s="11">
        <f>D6/C6</f>
        <v>0.00818181818181818</v>
      </c>
      <c r="G6" s="10" t="s">
        <v>16</v>
      </c>
      <c r="H6" s="10" t="s">
        <v>17</v>
      </c>
      <c r="I6" s="11">
        <f>G6/12</f>
        <v>74</v>
      </c>
      <c r="J6" s="9">
        <f>I6/C6</f>
        <v>0.00672727272727273</v>
      </c>
      <c r="K6" s="14">
        <v>0.009</v>
      </c>
    </row>
    <row r="7" spans="2:11">
      <c r="B7" s="5" t="s">
        <v>18</v>
      </c>
      <c r="C7" s="15">
        <v>27000</v>
      </c>
      <c r="D7" s="16" t="s">
        <v>19</v>
      </c>
      <c r="E7" s="16">
        <v>149</v>
      </c>
      <c r="F7" s="17">
        <f>D7/C7</f>
        <v>0.00737037037037037</v>
      </c>
      <c r="G7" s="16" t="s">
        <v>20</v>
      </c>
      <c r="H7" s="16" t="s">
        <v>21</v>
      </c>
      <c r="I7" s="17">
        <f>G7/12</f>
        <v>166</v>
      </c>
      <c r="J7" s="15">
        <f>I7/C7</f>
        <v>0.00614814814814815</v>
      </c>
      <c r="K7" s="18">
        <v>0.009</v>
      </c>
    </row>
    <row r="8" ht="14.75" spans="2:11">
      <c r="B8" s="19" t="s">
        <v>22</v>
      </c>
      <c r="C8" s="20"/>
      <c r="D8" s="20"/>
      <c r="E8" s="20"/>
      <c r="F8" s="20"/>
      <c r="G8" s="20"/>
      <c r="H8" s="20"/>
      <c r="I8" s="20"/>
      <c r="J8" s="20"/>
      <c r="K8" s="21"/>
    </row>
    <row r="9" ht="14.75"/>
    <row r="10" spans="2:11">
      <c r="B10" s="2" t="s">
        <v>23</v>
      </c>
      <c r="C10" s="3"/>
      <c r="D10" s="3"/>
      <c r="E10" s="3"/>
      <c r="F10" s="3"/>
      <c r="G10" s="3"/>
      <c r="H10" s="3"/>
      <c r="I10" s="3"/>
      <c r="J10" s="3"/>
      <c r="K10" s="4"/>
    </row>
    <row r="11" spans="2:11">
      <c r="B11" s="5" t="s">
        <v>1</v>
      </c>
      <c r="C11" s="7" t="s">
        <v>24</v>
      </c>
      <c r="D11" s="7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8" t="s">
        <v>32</v>
      </c>
    </row>
    <row r="12" spans="2:11">
      <c r="B12" s="13" t="s">
        <v>33</v>
      </c>
      <c r="C12" s="11">
        <v>800</v>
      </c>
      <c r="D12" s="11">
        <v>49</v>
      </c>
      <c r="E12" s="11">
        <f>D12/C12</f>
        <v>0.06125</v>
      </c>
      <c r="F12" s="11">
        <v>39</v>
      </c>
      <c r="G12" s="11">
        <f>F12/C12</f>
        <v>0.04875</v>
      </c>
      <c r="H12" s="11">
        <v>349</v>
      </c>
      <c r="I12" s="11">
        <f>H12/12</f>
        <v>29.0833333333333</v>
      </c>
      <c r="J12" s="22">
        <f>I12/C12</f>
        <v>0.0363541666666666</v>
      </c>
      <c r="K12" s="12">
        <v>0.01</v>
      </c>
    </row>
    <row r="13" spans="2:11">
      <c r="B13" s="5" t="s">
        <v>34</v>
      </c>
      <c r="C13" s="11">
        <v>1800</v>
      </c>
      <c r="D13" s="11">
        <v>79</v>
      </c>
      <c r="E13" s="11">
        <f>D13/C13</f>
        <v>0.0438888888888889</v>
      </c>
      <c r="F13" s="11">
        <v>66</v>
      </c>
      <c r="G13" s="11">
        <f>F13/C13</f>
        <v>0.0366666666666667</v>
      </c>
      <c r="H13" s="11">
        <v>549</v>
      </c>
      <c r="I13" s="11">
        <f>H13/12</f>
        <v>45.75</v>
      </c>
      <c r="J13" s="11">
        <f>I13/C13</f>
        <v>0.0254166666666667</v>
      </c>
      <c r="K13" s="14">
        <v>0.01</v>
      </c>
    </row>
    <row r="14" spans="2:11">
      <c r="B14" s="5" t="s">
        <v>35</v>
      </c>
      <c r="C14" s="11">
        <v>5800</v>
      </c>
      <c r="D14" s="11">
        <v>229</v>
      </c>
      <c r="E14" s="11">
        <f>D14/C14</f>
        <v>0.0394827586206897</v>
      </c>
      <c r="F14" s="11">
        <v>179</v>
      </c>
      <c r="G14" s="11">
        <f>F14/C14</f>
        <v>0.0308620689655172</v>
      </c>
      <c r="H14" s="11">
        <v>1599</v>
      </c>
      <c r="I14" s="11">
        <f>H14/12</f>
        <v>133.25</v>
      </c>
      <c r="J14" s="11">
        <f>I14/C14</f>
        <v>0.0229741379310345</v>
      </c>
      <c r="K14" s="14">
        <v>0.01</v>
      </c>
    </row>
    <row r="15" spans="2:11">
      <c r="B15" s="5" t="s">
        <v>36</v>
      </c>
      <c r="C15" s="17">
        <v>15800</v>
      </c>
      <c r="D15" s="17">
        <v>629</v>
      </c>
      <c r="E15" s="17">
        <f>D15/C15</f>
        <v>0.0398101265822785</v>
      </c>
      <c r="F15" s="17">
        <v>469</v>
      </c>
      <c r="G15" s="17">
        <f>F15/C15</f>
        <v>0.0296835443037975</v>
      </c>
      <c r="H15" s="17">
        <v>3999</v>
      </c>
      <c r="I15" s="17">
        <f>H15/12</f>
        <v>333.25</v>
      </c>
      <c r="J15" s="17">
        <f>I15/C15</f>
        <v>0.0210917721518987</v>
      </c>
      <c r="K15" s="18">
        <v>0.01</v>
      </c>
    </row>
    <row r="16" ht="14.75" spans="2:11">
      <c r="B16" s="19" t="s">
        <v>37</v>
      </c>
      <c r="C16" s="20"/>
      <c r="D16" s="20"/>
      <c r="E16" s="20"/>
      <c r="F16" s="20"/>
      <c r="G16" s="20"/>
      <c r="H16" s="20"/>
      <c r="I16" s="20"/>
      <c r="J16" s="20"/>
      <c r="K16" s="21"/>
    </row>
    <row r="17" ht="14.75"/>
    <row r="18" spans="2:10">
      <c r="B18" s="2" t="s">
        <v>38</v>
      </c>
      <c r="C18" s="3"/>
      <c r="D18" s="3"/>
      <c r="E18" s="3"/>
      <c r="F18" s="3"/>
      <c r="G18" s="3"/>
      <c r="H18" s="3"/>
      <c r="I18" s="3"/>
      <c r="J18" s="4"/>
    </row>
    <row r="19" spans="2:10">
      <c r="B19" s="23" t="s">
        <v>1</v>
      </c>
      <c r="C19" s="7" t="s">
        <v>24</v>
      </c>
      <c r="D19" s="7" t="s">
        <v>39</v>
      </c>
      <c r="E19" s="7" t="s">
        <v>4</v>
      </c>
      <c r="F19" s="7" t="s">
        <v>40</v>
      </c>
      <c r="G19" s="7" t="s">
        <v>6</v>
      </c>
      <c r="H19" s="7" t="s">
        <v>8</v>
      </c>
      <c r="I19" s="7" t="s">
        <v>9</v>
      </c>
      <c r="J19" s="8" t="s">
        <v>10</v>
      </c>
    </row>
    <row r="20" spans="2:10">
      <c r="B20" s="5" t="s">
        <v>41</v>
      </c>
      <c r="C20" s="11">
        <v>1500</v>
      </c>
      <c r="D20" s="11">
        <v>15</v>
      </c>
      <c r="E20" s="11">
        <v>9</v>
      </c>
      <c r="F20" s="11">
        <f>D20/C20</f>
        <v>0.01</v>
      </c>
      <c r="G20" s="11">
        <v>153</v>
      </c>
      <c r="H20" s="11">
        <f>G20/12</f>
        <v>12.75</v>
      </c>
      <c r="I20" s="11">
        <f>H20/C20</f>
        <v>0.0085</v>
      </c>
      <c r="J20" s="14">
        <f>1/100</f>
        <v>0.01</v>
      </c>
    </row>
    <row r="21" spans="2:10">
      <c r="B21" s="5" t="s">
        <v>42</v>
      </c>
      <c r="C21" s="11">
        <v>9500</v>
      </c>
      <c r="D21" s="11">
        <v>81</v>
      </c>
      <c r="E21" s="11" t="s">
        <v>12</v>
      </c>
      <c r="F21" s="11">
        <f>D21/C21</f>
        <v>0.00852631578947368</v>
      </c>
      <c r="G21" s="11">
        <v>855</v>
      </c>
      <c r="H21" s="11">
        <f>G21/12</f>
        <v>71.25</v>
      </c>
      <c r="I21" s="11">
        <f>H21/C21</f>
        <v>0.0075</v>
      </c>
      <c r="J21" s="14">
        <f>1/107</f>
        <v>0.00934579439252336</v>
      </c>
    </row>
    <row r="22" spans="2:10">
      <c r="B22" s="5" t="s">
        <v>43</v>
      </c>
      <c r="C22" s="17">
        <v>36000</v>
      </c>
      <c r="D22" s="17">
        <v>306</v>
      </c>
      <c r="E22" s="17" t="s">
        <v>12</v>
      </c>
      <c r="F22" s="17">
        <f>D22/C22</f>
        <v>0.0085</v>
      </c>
      <c r="G22" s="17">
        <v>2592</v>
      </c>
      <c r="H22" s="17">
        <f>G22/12</f>
        <v>216</v>
      </c>
      <c r="I22" s="17">
        <f>H22/C22</f>
        <v>0.006</v>
      </c>
      <c r="J22" s="18">
        <f>1/115</f>
        <v>0.00869565217391304</v>
      </c>
    </row>
    <row r="23" ht="14.75" spans="2:10">
      <c r="B23" s="19" t="s">
        <v>44</v>
      </c>
      <c r="C23" s="20"/>
      <c r="D23" s="20"/>
      <c r="E23" s="20"/>
      <c r="F23" s="20"/>
      <c r="G23" s="20"/>
      <c r="H23" s="20"/>
      <c r="I23" s="20"/>
      <c r="J23" s="21"/>
    </row>
  </sheetData>
  <mergeCells count="6">
    <mergeCell ref="B2:K2"/>
    <mergeCell ref="B8:K8"/>
    <mergeCell ref="B10:K10"/>
    <mergeCell ref="B16:K16"/>
    <mergeCell ref="B18:J18"/>
    <mergeCell ref="B23:J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顶级笨蛋</cp:lastModifiedBy>
  <dcterms:created xsi:type="dcterms:W3CDTF">2023-05-12T11:15:00Z</dcterms:created>
  <dcterms:modified xsi:type="dcterms:W3CDTF">2026-01-13T07:41:00Z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6B0542736E684DE78707D3F9E1BF6970_12</vt:lpwstr>
  </property>
  <property fmtid="{D5CDD505-2E9C-101B-9397-08002B2CF9AE}" pid="4" name="CalculationRule">
    <vt:i4>0</vt:i4>
  </property>
</Properties>
</file>